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onie\OneDrive - Delft University of Technology\Documenten\GitHub\thesis\code_and_simulations\data\meas_ops\"/>
    </mc:Choice>
  </mc:AlternateContent>
  <xr:revisionPtr revIDLastSave="0" documentId="13_ncr:1_{11AE001F-DACC-4D05-8324-22BAEE9341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16" i="1"/>
  <c r="A10" i="1"/>
  <c r="A11" i="1" s="1"/>
  <c r="B11" i="1"/>
  <c r="B4" i="1"/>
  <c r="B5" i="1" s="1"/>
  <c r="B6" i="1" s="1"/>
  <c r="A4" i="1"/>
  <c r="A5" i="1" s="1"/>
  <c r="A6" i="1" s="1"/>
  <c r="B27" i="1"/>
  <c r="B16" i="1"/>
  <c r="B17" i="1" l="1"/>
  <c r="B18" i="1" s="1"/>
  <c r="B19" i="1" s="1"/>
  <c r="B20" i="1" s="1"/>
  <c r="B21" i="1" s="1"/>
  <c r="B22" i="1" s="1"/>
  <c r="A26" i="1"/>
  <c r="A27" i="1" s="1"/>
  <c r="A28" i="1" s="1"/>
  <c r="A29" i="1" s="1"/>
  <c r="A30" i="1" s="1"/>
  <c r="A31" i="1" s="1"/>
  <c r="A32" i="1" s="1"/>
  <c r="B28" i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<sst xmlns="http://schemas.openxmlformats.org/spreadsheetml/2006/main" count="78" uniqueCount="45">
  <si>
    <t>Aug. 2025</t>
  </si>
  <si>
    <t>Jul. 2025</t>
  </si>
  <si>
    <t># meas_op</t>
  </si>
  <si>
    <t># meas_op (in month)</t>
  </si>
  <si>
    <t>10 min timeframe</t>
  </si>
  <si>
    <t>2025 July 14th 19:53:08 - 2025 July 14th 20:03:08</t>
  </si>
  <si>
    <t>2025 July 17th 10:37:50 - 2025 July 17th 10:47:50</t>
  </si>
  <si>
    <t>region of interest</t>
  </si>
  <si>
    <t>Valles Marineris</t>
  </si>
  <si>
    <t>Elysium + Utopia Planitia</t>
  </si>
  <si>
    <t>min. MEX2TGO_dis [km]</t>
  </si>
  <si>
    <t>max. MEX2TGO_dis [km]</t>
  </si>
  <si>
    <t>min. equiemission_avg [deg]</t>
  </si>
  <si>
    <t>max. equiemission_avg [deg]</t>
  </si>
  <si>
    <t>2025 July 12th 04:59:27 - 2025 July 12th 05:09:27</t>
  </si>
  <si>
    <t>2025 July 12th 05:09:27 - 2025 July 12th 05:19:27</t>
  </si>
  <si>
    <t>2025 July 14th 20:03:08 - 2025 July 14th 20:13:08</t>
  </si>
  <si>
    <t>2025 July 20th 01:49:31 - 2025 July 20th 01:59:31</t>
  </si>
  <si>
    <t>Valles Marineris + Chryse Planitia</t>
  </si>
  <si>
    <t>Chryse Planitia</t>
  </si>
  <si>
    <t>Utopia Planitia</t>
  </si>
  <si>
    <t>2025 July 11th 15:15:07 - 2025 July 11th 15:25:07</t>
  </si>
  <si>
    <t>Elysium Planitia</t>
  </si>
  <si>
    <t>2025 July 27th 22:22:06 - 2025 July 27th 22:32:06</t>
  </si>
  <si>
    <t>S1094b Crater</t>
  </si>
  <si>
    <t>2025 August 2nd 04:09:47 - 2025 August 2nd 04:19:47</t>
  </si>
  <si>
    <t>2025 August 2nd 17:50:32 - 2025 August 2nd 18:00:32</t>
  </si>
  <si>
    <t>2025 August 5th 08:49:07 - 2025 August 5th 08:59:07</t>
  </si>
  <si>
    <t>Xanthe Terra</t>
  </si>
  <si>
    <t>2025 August 16th 10:14:16 - 2025 August 16th 10:24:16</t>
  </si>
  <si>
    <t>MRO Impact crater</t>
  </si>
  <si>
    <t>2025 August 18th 11:16:13 - 2025 August 18th 11:26:13</t>
  </si>
  <si>
    <t>Between MRO Impact crater &amp; Utopia Planitia</t>
  </si>
  <si>
    <t>2025 August 28th 01:42:36 - 2025 August 28th 01:52:36</t>
  </si>
  <si>
    <t>2025 August 7th 09:51:03 - 2025 August 7th 10:01:03</t>
  </si>
  <si>
    <t>Jan. + Feb. 2024</t>
  </si>
  <si>
    <t>Timeframe</t>
  </si>
  <si>
    <t>2024 January 23rd 03:49:07 - 2024 January 23rd 03:59:07</t>
  </si>
  <si>
    <t>2024 February 11th 01:53:19 - 2024 February 11th 02:03:19</t>
  </si>
  <si>
    <t>N/A; Vastitas Borealis</t>
  </si>
  <si>
    <t>Mar. + Apr. 2025</t>
  </si>
  <si>
    <t>2024 January 30th 10:30:44 - 2024 January 30th 10:40:44</t>
  </si>
  <si>
    <t>2024 February 6th 09:43:22 - 2024 February 6th 09:53:22</t>
  </si>
  <si>
    <t>2025 March 20th 23:40:54 - 2025 March 20th 23:50:54</t>
  </si>
  <si>
    <t>2025 April 5th 16:56:04 - 2025 April 5th 17:06:04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</si>
</sst>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17" fontId="3" fillId="0" borderId="3" xfId="1" applyNumberFormat="1" applyFont="1" applyBorder="1" applyAlignment="1">
      <alignment horizontal="center"/>
    </xf>
    <xf numFmtId="17" fontId="3" fillId="0" borderId="6" xfId="1" applyNumberFormat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4" xfId="1" applyFont="1" applyBorder="1" applyAlignment="1">
      <alignment horizontal="center"/>
    </xf>
  </cellXfs>
  <cellStyles count="2">
    <cellStyle name="Kop 2" xfId="1" builtinId="17"/>
    <cellStyle name="Standaard" xfId="0" builtinId="0"/>
  </cellStyles>
  <dxfs count="4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outline="0">
        <top style="thick">
          <color theme="4" tint="0.499984740745262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ck">
          <color theme="4" tint="0.499984740745262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ck">
          <color theme="4" tint="0.499984740745262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outline="0">
        <top style="thick">
          <color theme="4" tint="0.499984740745262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BE8D4-24D9-4AE8-87F9-A67A1929854C}" name="Tabel1" displayName="Tabel1" ref="A14:H22" totalsRowShown="0" headerRowDxfId="43" dataDxfId="42" tableBorderDxfId="41">
  <autoFilter ref="A14:H22" xr:uid="{1E1BE8D4-24D9-4AE8-87F9-A67A1929854C}"/>
  <tableColumns count="8">
    <tableColumn id="1" xr3:uid="{1C73F27C-A821-425A-9184-35C00584E170}" name="# meas_op" dataDxfId="40">
      <calculatedColumnFormula>A11+1</calculatedColumnFormula>
    </tableColumn>
    <tableColumn id="2" xr3:uid="{D9D5B0BD-EC25-40E5-A440-64D8B2A35984}" name="# meas_op (in month)" dataDxfId="39">
      <calculatedColumnFormula>B14+1</calculatedColumnFormula>
    </tableColumn>
    <tableColumn id="3" xr3:uid="{4F949C04-4232-4C19-BCDF-10A90B7C3FC8}" name="10 min timeframe" dataDxfId="38"/>
    <tableColumn id="4" xr3:uid="{C945FED2-BBA7-4A00-8891-C46ABAAF20DB}" name="region of interest" dataDxfId="37"/>
    <tableColumn id="5" xr3:uid="{00F847C0-3D59-411F-8913-D7ACD7E7DCBA}" name="min. MEX2TGO_dis [km]" dataDxfId="36"/>
    <tableColumn id="6" xr3:uid="{EAAC68AF-1E52-4E33-9C80-132837F84CC8}" name="max. MEX2TGO_dis [km]" dataDxfId="35"/>
    <tableColumn id="7" xr3:uid="{C57D1A5E-8CBE-469F-9D8B-938A247D0C05}" name="min. equiemission_avg [deg]" dataDxfId="34"/>
    <tableColumn id="8" xr3:uid="{47C6338E-F130-499D-8DBC-34A5B1F9BE91}" name="max. equiemission_avg [deg]" dataDxfId="3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85BF22-6D3A-44F6-A155-B7F4BD71887E}" name="Tabel2" displayName="Tabel2" ref="A25:H32" totalsRowShown="0" headerRowDxfId="32" dataDxfId="31" tableBorderDxfId="30">
  <autoFilter ref="A25:H32" xr:uid="{9185BF22-6D3A-44F6-A155-B7F4BD71887E}"/>
  <tableColumns count="8">
    <tableColumn id="1" xr3:uid="{C430D42C-D3DA-431F-9CB4-FCE668FE00E8}" name="# meas_op" dataDxfId="29">
      <calculatedColumnFormula>A25+1</calculatedColumnFormula>
    </tableColumn>
    <tableColumn id="2" xr3:uid="{6250D5EF-C0F9-4DB0-8282-A5B4B5EE7279}" name="# meas_op (in month)" dataDxfId="28">
      <calculatedColumnFormula>B25+1</calculatedColumnFormula>
    </tableColumn>
    <tableColumn id="3" xr3:uid="{14951ED4-4321-42E2-82FA-6C944E0982E9}" name="10 min timeframe" dataDxfId="27"/>
    <tableColumn id="4" xr3:uid="{C73B632F-3B4C-4D69-BAE1-75FF0366A4AA}" name="region of interest" dataDxfId="26"/>
    <tableColumn id="5" xr3:uid="{D6358877-C7FB-45C7-AF32-2F7CC08585AE}" name="min. MEX2TGO_dis [km]" dataDxfId="25"/>
    <tableColumn id="6" xr3:uid="{59F472C6-D658-47FF-8049-C67A32F82E4B}" name="max. MEX2TGO_dis [km]" dataDxfId="24"/>
    <tableColumn id="7" xr3:uid="{A7AF3756-9924-4F4B-BFB1-EC1033930985}" name="min. equiemission_avg [deg]" dataDxfId="23"/>
    <tableColumn id="8" xr3:uid="{45D502CA-E0CE-4409-9725-049909C46B9F}" name="max. equiemission_avg [deg]" dataDxfId="2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4BC6F9-647A-4806-B319-497EDD762013}" name="Tabel14" displayName="Tabel14" ref="A2:H6" totalsRowShown="0" headerRowDxfId="21" dataDxfId="20" tableBorderDxfId="19">
  <autoFilter ref="A2:H6" xr:uid="{F84BC6F9-647A-4806-B319-497EDD762013}"/>
  <tableColumns count="8">
    <tableColumn id="1" xr3:uid="{3351381E-4BFD-4ACC-9989-FD7614065CF8}" name="# meas_op" dataDxfId="18">
      <calculatedColumnFormula>A2+1</calculatedColumnFormula>
    </tableColumn>
    <tableColumn id="2" xr3:uid="{103EEFF6-894D-4A20-A0D2-3B7BDD48B39B}" name="# meas_op (in month)" dataDxfId="17">
      <calculatedColumnFormula>B2+1</calculatedColumnFormula>
    </tableColumn>
    <tableColumn id="3" xr3:uid="{63A5FC5B-CEE4-403E-8B50-D75AED12A15B}" name="Timeframe" dataDxfId="16"/>
    <tableColumn id="4" xr3:uid="{EBFCAAFD-64DC-462B-B561-63F78ECBF95B}" name="region of interest" dataDxfId="15"/>
    <tableColumn id="5" xr3:uid="{F99B3FBF-D1AF-4AA8-BE0E-6595B7B9E41E}" name="min. MEX2TGO_dis [km]" dataDxfId="14"/>
    <tableColumn id="6" xr3:uid="{20A4B11E-829C-433E-BA1B-D3D1A9F604BC}" name="max. MEX2TGO_dis [km]" dataDxfId="13"/>
    <tableColumn id="7" xr3:uid="{D34ADACD-1BF8-4B03-92E8-A67457E7EC9F}" name="min. equiemission_avg [deg]" dataDxfId="12"/>
    <tableColumn id="8" xr3:uid="{E026E204-AF14-4E38-A2B9-714DA0A3FD89}" name="max. equiemission_avg [deg]" dataDxfId="1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274B22-9AF4-4702-AA38-4CE5297BFF50}" name="Tabel145" displayName="Tabel145" ref="A9:H11" totalsRowShown="0" headerRowDxfId="10" dataDxfId="9" tableBorderDxfId="8">
  <autoFilter ref="A9:H11" xr:uid="{9D274B22-9AF4-4702-AA38-4CE5297BFF50}"/>
  <tableColumns count="8">
    <tableColumn id="1" xr3:uid="{5E95A472-7B2C-4CCA-8ABF-A9B148110625}" name="# meas_op" dataDxfId="7"/>
    <tableColumn id="2" xr3:uid="{D68E1022-FABE-4A2F-A8A7-59BC2CC396A4}" name="# meas_op (in month)" dataDxfId="6">
      <calculatedColumnFormula>B9+1</calculatedColumnFormula>
    </tableColumn>
    <tableColumn id="3" xr3:uid="{88A24407-5305-4B26-901F-816FFD8D669B}" name="Timeframe" dataDxfId="5"/>
    <tableColumn id="4" xr3:uid="{A032BC91-6A13-49D6-8FE2-142722AE023E}" name="region of interest" dataDxfId="4"/>
    <tableColumn id="5" xr3:uid="{088FD38B-9E44-4ADF-BAFD-74F957961489}" name="min. MEX2TGO_dis [km]" dataDxfId="3"/>
    <tableColumn id="6" xr3:uid="{73998BA6-EBFA-4361-BD16-7FC37D9C43BD}" name="max. MEX2TGO_dis [km]" dataDxfId="2"/>
    <tableColumn id="7" xr3:uid="{1D48BBD5-6CE0-4E5B-BC02-881BA653C05A}" name="min. equiemission_avg [deg]" dataDxfId="1"/>
    <tableColumn id="8" xr3:uid="{B62B56F3-A37F-4C8C-99D8-EE425807D89F}" name="max. equiemission_avg [deg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C1" workbookViewId="0">
      <selection activeCell="H10" sqref="H10"/>
    </sheetView>
  </sheetViews>
  <sheetFormatPr defaultRowHeight="14.4" x14ac:dyDescent="0.3"/>
  <cols>
    <col min="1" max="1" width="14.5546875" style="1" bestFit="1" customWidth="1"/>
    <col min="2" max="2" width="24.21875" style="1" bestFit="1" customWidth="1"/>
    <col min="3" max="3" width="50.109375" style="1" bestFit="1" customWidth="1"/>
    <col min="4" max="4" width="28.109375" style="1" bestFit="1" customWidth="1"/>
    <col min="5" max="5" width="26.21875" style="1" bestFit="1" customWidth="1"/>
    <col min="6" max="6" width="26.5546875" style="1" bestFit="1" customWidth="1"/>
    <col min="7" max="7" width="30" style="1" bestFit="1" customWidth="1"/>
    <col min="8" max="8" width="30.33203125" style="1" bestFit="1" customWidth="1"/>
    <col min="9" max="16384" width="8.88671875" style="1"/>
  </cols>
  <sheetData>
    <row r="1" spans="1:8" ht="18" x14ac:dyDescent="0.35">
      <c r="A1" s="11" t="s">
        <v>35</v>
      </c>
      <c r="B1" s="11"/>
      <c r="C1" s="11"/>
      <c r="D1" s="11"/>
      <c r="E1" s="11"/>
      <c r="F1" s="11"/>
      <c r="G1" s="11"/>
      <c r="H1" s="12"/>
    </row>
    <row r="2" spans="1:8" x14ac:dyDescent="0.3">
      <c r="A2" s="2" t="s">
        <v>2</v>
      </c>
      <c r="B2" s="2" t="s">
        <v>3</v>
      </c>
      <c r="C2" s="2" t="s">
        <v>36</v>
      </c>
      <c r="D2" s="2" t="s">
        <v>7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3">
      <c r="A3" s="1">
        <v>1</v>
      </c>
      <c r="B3" s="1">
        <v>1</v>
      </c>
      <c r="C3" s="1" t="s">
        <v>37</v>
      </c>
      <c r="D3" s="1" t="s">
        <v>39</v>
      </c>
      <c r="E3" s="1">
        <v>5260.97</v>
      </c>
      <c r="F3" s="1">
        <v>5798.26</v>
      </c>
      <c r="G3" s="3">
        <v>1.9</v>
      </c>
      <c r="H3" s="1">
        <v>27.85</v>
      </c>
    </row>
    <row r="4" spans="1:8" x14ac:dyDescent="0.3">
      <c r="A4" s="1">
        <f>A3+1</f>
        <v>2</v>
      </c>
      <c r="B4" s="1">
        <f>B3+1</f>
        <v>2</v>
      </c>
      <c r="C4" s="1" t="s">
        <v>41</v>
      </c>
      <c r="D4" s="1" t="s">
        <v>39</v>
      </c>
      <c r="E4" s="1">
        <v>6713.22</v>
      </c>
      <c r="F4" s="3">
        <v>8086.54</v>
      </c>
      <c r="G4" s="1">
        <v>35.71</v>
      </c>
      <c r="H4" s="1">
        <v>69.55</v>
      </c>
    </row>
    <row r="5" spans="1:8" x14ac:dyDescent="0.3">
      <c r="A5" s="1">
        <f t="shared" ref="A5:B6" si="0">A4+1</f>
        <v>3</v>
      </c>
      <c r="B5" s="1">
        <f t="shared" si="0"/>
        <v>3</v>
      </c>
      <c r="C5" s="1" t="s">
        <v>42</v>
      </c>
      <c r="D5" s="1" t="s">
        <v>39</v>
      </c>
      <c r="E5" s="3">
        <v>4461.97</v>
      </c>
      <c r="F5" s="1">
        <v>5892.17</v>
      </c>
      <c r="G5" s="1">
        <v>26.17</v>
      </c>
      <c r="H5" s="3">
        <v>69.709999999999994</v>
      </c>
    </row>
    <row r="6" spans="1:8" x14ac:dyDescent="0.3">
      <c r="A6" s="1">
        <f t="shared" ref="A6" si="1">A5+1</f>
        <v>4</v>
      </c>
      <c r="B6" s="1">
        <f t="shared" si="0"/>
        <v>4</v>
      </c>
      <c r="C6" s="1" t="s">
        <v>38</v>
      </c>
      <c r="D6" s="1" t="s">
        <v>39</v>
      </c>
      <c r="E6" s="3">
        <v>5560.5</v>
      </c>
      <c r="F6" s="1">
        <v>6473.33</v>
      </c>
      <c r="G6" s="1">
        <v>12.07</v>
      </c>
      <c r="H6" s="1">
        <v>29.06</v>
      </c>
    </row>
    <row r="8" spans="1:8" ht="18" x14ac:dyDescent="0.35">
      <c r="A8" s="11" t="s">
        <v>40</v>
      </c>
      <c r="B8" s="11"/>
      <c r="C8" s="11"/>
      <c r="D8" s="11"/>
      <c r="E8" s="11"/>
      <c r="F8" s="11"/>
      <c r="G8" s="11"/>
      <c r="H8" s="12"/>
    </row>
    <row r="9" spans="1:8" x14ac:dyDescent="0.3">
      <c r="A9" s="2" t="s">
        <v>2</v>
      </c>
      <c r="B9" s="2" t="s">
        <v>3</v>
      </c>
      <c r="C9" s="2" t="s">
        <v>36</v>
      </c>
      <c r="D9" s="2" t="s">
        <v>7</v>
      </c>
      <c r="E9" s="2" t="s">
        <v>10</v>
      </c>
      <c r="F9" s="2" t="s">
        <v>11</v>
      </c>
      <c r="G9" s="2" t="s">
        <v>12</v>
      </c>
      <c r="H9" s="2" t="s">
        <v>13</v>
      </c>
    </row>
    <row r="10" spans="1:8" x14ac:dyDescent="0.3">
      <c r="A10" s="1">
        <f>A6+1</f>
        <v>5</v>
      </c>
      <c r="B10" s="1">
        <v>1</v>
      </c>
      <c r="C10" s="1" t="s">
        <v>43</v>
      </c>
      <c r="D10" s="1" t="s">
        <v>39</v>
      </c>
      <c r="E10" s="1">
        <v>554.02</v>
      </c>
      <c r="F10" s="3">
        <v>1620.81</v>
      </c>
      <c r="G10" s="3">
        <v>31.65</v>
      </c>
      <c r="H10" s="3">
        <v>60.1</v>
      </c>
    </row>
    <row r="11" spans="1:8" x14ac:dyDescent="0.3">
      <c r="A11" s="1">
        <f t="shared" ref="A11" si="2">A10+1</f>
        <v>6</v>
      </c>
      <c r="B11" s="1">
        <f>B10+1</f>
        <v>2</v>
      </c>
      <c r="C11" s="1" t="s">
        <v>44</v>
      </c>
      <c r="D11" s="1" t="s">
        <v>39</v>
      </c>
      <c r="E11" s="1">
        <v>502.25</v>
      </c>
      <c r="F11" s="3">
        <v>2339.4</v>
      </c>
      <c r="G11" s="1">
        <v>22.56</v>
      </c>
      <c r="H11" s="1">
        <v>77.84</v>
      </c>
    </row>
    <row r="13" spans="1:8" ht="18" x14ac:dyDescent="0.35">
      <c r="A13" s="7" t="s">
        <v>1</v>
      </c>
      <c r="B13" s="7"/>
      <c r="C13" s="7"/>
      <c r="D13" s="7"/>
      <c r="E13" s="7"/>
      <c r="F13" s="7"/>
      <c r="G13" s="7"/>
      <c r="H13" s="8"/>
    </row>
    <row r="14" spans="1:8" x14ac:dyDescent="0.3">
      <c r="A14" s="2" t="s">
        <v>2</v>
      </c>
      <c r="B14" s="2" t="s">
        <v>3</v>
      </c>
      <c r="C14" s="2" t="s">
        <v>4</v>
      </c>
      <c r="D14" s="2" t="s">
        <v>7</v>
      </c>
      <c r="E14" s="2" t="s">
        <v>10</v>
      </c>
      <c r="F14" s="2" t="s">
        <v>11</v>
      </c>
      <c r="G14" s="2" t="s">
        <v>12</v>
      </c>
      <c r="H14" s="2" t="s">
        <v>13</v>
      </c>
    </row>
    <row r="15" spans="1:8" x14ac:dyDescent="0.3">
      <c r="A15" s="1">
        <v>7</v>
      </c>
      <c r="B15" s="1">
        <v>1</v>
      </c>
      <c r="C15" s="1" t="s">
        <v>21</v>
      </c>
      <c r="D15" s="1" t="s">
        <v>22</v>
      </c>
      <c r="E15" s="1">
        <v>2259.0700000000002</v>
      </c>
      <c r="F15" s="1">
        <v>2511.7399999999998</v>
      </c>
      <c r="G15" s="1">
        <v>54.93</v>
      </c>
      <c r="H15" s="1">
        <v>68.44</v>
      </c>
    </row>
    <row r="16" spans="1:8" x14ac:dyDescent="0.3">
      <c r="A16" s="1">
        <f>A15+1</f>
        <v>8</v>
      </c>
      <c r="B16" s="1">
        <f>B15+1</f>
        <v>2</v>
      </c>
      <c r="C16" s="1" t="s">
        <v>14</v>
      </c>
      <c r="D16" s="1" t="s">
        <v>18</v>
      </c>
      <c r="E16" s="1">
        <v>1093.1300000000001</v>
      </c>
      <c r="F16" s="3">
        <v>1173.8</v>
      </c>
      <c r="G16" s="1">
        <v>49.84</v>
      </c>
      <c r="H16" s="1">
        <v>59.84</v>
      </c>
    </row>
    <row r="17" spans="1:8" x14ac:dyDescent="0.3">
      <c r="A17" s="1">
        <f t="shared" ref="A17:A22" si="3">A16+1</f>
        <v>9</v>
      </c>
      <c r="B17" s="1">
        <f>B16+1</f>
        <v>3</v>
      </c>
      <c r="C17" s="1" t="s">
        <v>15</v>
      </c>
      <c r="D17" s="1" t="s">
        <v>19</v>
      </c>
      <c r="E17" s="3">
        <v>1135.2</v>
      </c>
      <c r="F17" s="1">
        <v>1581.32</v>
      </c>
      <c r="G17" s="1">
        <v>40.49</v>
      </c>
      <c r="H17" s="1">
        <v>49.63</v>
      </c>
    </row>
    <row r="18" spans="1:8" x14ac:dyDescent="0.3">
      <c r="A18" s="1">
        <f t="shared" si="3"/>
        <v>10</v>
      </c>
      <c r="B18" s="1">
        <f t="shared" ref="B18:B22" si="4">B17+1</f>
        <v>4</v>
      </c>
      <c r="C18" s="1" t="s">
        <v>5</v>
      </c>
      <c r="D18" s="1" t="s">
        <v>9</v>
      </c>
      <c r="E18" s="1">
        <v>497.41</v>
      </c>
      <c r="F18" s="1">
        <v>711.82</v>
      </c>
      <c r="G18" s="1">
        <v>28.14</v>
      </c>
      <c r="H18" s="1">
        <v>36.21</v>
      </c>
    </row>
    <row r="19" spans="1:8" x14ac:dyDescent="0.3">
      <c r="A19" s="1">
        <f t="shared" si="3"/>
        <v>11</v>
      </c>
      <c r="B19" s="1">
        <f t="shared" si="4"/>
        <v>5</v>
      </c>
      <c r="C19" s="1" t="s">
        <v>16</v>
      </c>
      <c r="D19" s="1" t="s">
        <v>20</v>
      </c>
      <c r="E19" s="1">
        <v>721.74</v>
      </c>
      <c r="F19" s="1">
        <v>1478.13</v>
      </c>
      <c r="G19" s="1">
        <v>28.02</v>
      </c>
      <c r="H19" s="1">
        <v>28.55</v>
      </c>
    </row>
    <row r="20" spans="1:8" x14ac:dyDescent="0.3">
      <c r="A20" s="1">
        <f t="shared" si="3"/>
        <v>12</v>
      </c>
      <c r="B20" s="1">
        <f t="shared" si="4"/>
        <v>6</v>
      </c>
      <c r="C20" s="1" t="s">
        <v>6</v>
      </c>
      <c r="D20" s="1" t="s">
        <v>8</v>
      </c>
      <c r="E20" s="1">
        <v>160.25</v>
      </c>
      <c r="F20" s="1">
        <v>745.82</v>
      </c>
      <c r="G20" s="1">
        <v>9.6199999999999992</v>
      </c>
      <c r="H20" s="1">
        <v>43.23</v>
      </c>
    </row>
    <row r="21" spans="1:8" x14ac:dyDescent="0.3">
      <c r="A21" s="1">
        <f t="shared" si="3"/>
        <v>13</v>
      </c>
      <c r="B21" s="1">
        <f t="shared" si="4"/>
        <v>7</v>
      </c>
      <c r="C21" s="1" t="s">
        <v>17</v>
      </c>
      <c r="D21" s="1" t="s">
        <v>20</v>
      </c>
      <c r="E21" s="1">
        <v>848.15</v>
      </c>
      <c r="F21" s="1">
        <v>1553.96</v>
      </c>
      <c r="G21" s="1">
        <v>10.51</v>
      </c>
      <c r="H21" s="1">
        <v>19.93</v>
      </c>
    </row>
    <row r="22" spans="1:8" x14ac:dyDescent="0.3">
      <c r="A22" s="1">
        <f t="shared" si="3"/>
        <v>14</v>
      </c>
      <c r="B22" s="1">
        <f t="shared" si="4"/>
        <v>8</v>
      </c>
      <c r="C22" s="1" t="s">
        <v>23</v>
      </c>
      <c r="D22" s="1" t="s">
        <v>24</v>
      </c>
      <c r="E22" s="1">
        <v>1977.53</v>
      </c>
      <c r="F22" s="3">
        <v>2229.4</v>
      </c>
      <c r="G22" s="1">
        <v>36.58</v>
      </c>
      <c r="H22" s="1">
        <v>64.349999999999994</v>
      </c>
    </row>
    <row r="24" spans="1:8" ht="18" x14ac:dyDescent="0.35">
      <c r="A24" s="9" t="s">
        <v>0</v>
      </c>
      <c r="B24" s="9"/>
      <c r="C24" s="9"/>
      <c r="D24" s="9"/>
      <c r="E24" s="9"/>
      <c r="F24" s="9"/>
      <c r="G24" s="9"/>
      <c r="H24" s="10"/>
    </row>
    <row r="25" spans="1:8" x14ac:dyDescent="0.3">
      <c r="A25" s="2" t="s">
        <v>2</v>
      </c>
      <c r="B25" s="2" t="s">
        <v>3</v>
      </c>
      <c r="C25" s="2" t="s">
        <v>4</v>
      </c>
      <c r="D25" s="2" t="s">
        <v>7</v>
      </c>
      <c r="E25" s="2" t="s">
        <v>10</v>
      </c>
      <c r="F25" s="2" t="s">
        <v>11</v>
      </c>
      <c r="G25" s="2" t="s">
        <v>12</v>
      </c>
      <c r="H25" s="2" t="s">
        <v>13</v>
      </c>
    </row>
    <row r="26" spans="1:8" x14ac:dyDescent="0.3">
      <c r="A26" s="1">
        <f>A22+1</f>
        <v>15</v>
      </c>
      <c r="B26" s="1">
        <v>1</v>
      </c>
      <c r="C26" s="1" t="s">
        <v>25</v>
      </c>
      <c r="D26" s="1" t="s">
        <v>20</v>
      </c>
      <c r="E26" s="1">
        <v>2696.06</v>
      </c>
      <c r="F26" s="1">
        <v>3199.45</v>
      </c>
      <c r="G26" s="1">
        <v>41.58</v>
      </c>
      <c r="H26" s="1">
        <v>70.08</v>
      </c>
    </row>
    <row r="27" spans="1:8" x14ac:dyDescent="0.3">
      <c r="A27" s="1">
        <f t="shared" ref="A27:B32" si="5">A26+1</f>
        <v>16</v>
      </c>
      <c r="B27" s="1">
        <f>B26+1</f>
        <v>2</v>
      </c>
      <c r="C27" s="1" t="s">
        <v>26</v>
      </c>
      <c r="D27" s="1" t="s">
        <v>28</v>
      </c>
      <c r="E27" s="1">
        <v>2286.19</v>
      </c>
      <c r="F27" s="3">
        <v>2855.1</v>
      </c>
      <c r="G27" s="1">
        <v>67.83</v>
      </c>
      <c r="H27" s="1">
        <v>85.16</v>
      </c>
    </row>
    <row r="28" spans="1:8" x14ac:dyDescent="0.3">
      <c r="A28" s="1">
        <f t="shared" si="5"/>
        <v>17</v>
      </c>
      <c r="B28" s="1">
        <f t="shared" si="5"/>
        <v>3</v>
      </c>
      <c r="C28" s="1" t="s">
        <v>27</v>
      </c>
      <c r="D28" s="1" t="s">
        <v>20</v>
      </c>
      <c r="E28" s="1">
        <v>2161.06</v>
      </c>
      <c r="F28" s="3">
        <v>2914.1</v>
      </c>
      <c r="G28" s="1">
        <v>51.22</v>
      </c>
      <c r="H28" s="1">
        <v>79.33</v>
      </c>
    </row>
    <row r="29" spans="1:8" x14ac:dyDescent="0.3">
      <c r="A29" s="1">
        <f>A28+1</f>
        <v>18</v>
      </c>
      <c r="B29" s="1">
        <f>B28+1</f>
        <v>4</v>
      </c>
      <c r="C29" s="1" t="s">
        <v>34</v>
      </c>
      <c r="D29" s="1" t="s">
        <v>20</v>
      </c>
      <c r="E29" s="1">
        <v>3770.81</v>
      </c>
      <c r="F29" s="1">
        <v>4423.8900000000003</v>
      </c>
      <c r="G29" s="1">
        <v>63.48</v>
      </c>
      <c r="H29" s="1">
        <v>84.67</v>
      </c>
    </row>
    <row r="30" spans="1:8" s="4" customFormat="1" x14ac:dyDescent="0.3">
      <c r="A30" s="4">
        <f t="shared" si="5"/>
        <v>19</v>
      </c>
      <c r="B30" s="4">
        <f t="shared" si="5"/>
        <v>5</v>
      </c>
      <c r="C30" s="1" t="s">
        <v>29</v>
      </c>
      <c r="D30" s="1" t="s">
        <v>30</v>
      </c>
      <c r="E30" s="3">
        <v>2898</v>
      </c>
      <c r="F30" s="3">
        <v>4083.35</v>
      </c>
      <c r="G30" s="1">
        <v>60.72</v>
      </c>
      <c r="H30" s="1">
        <v>88.14</v>
      </c>
    </row>
    <row r="31" spans="1:8" s="4" customFormat="1" ht="28.8" x14ac:dyDescent="0.3">
      <c r="A31" s="4">
        <f t="shared" si="5"/>
        <v>20</v>
      </c>
      <c r="B31" s="4">
        <f t="shared" si="5"/>
        <v>6</v>
      </c>
      <c r="C31" s="4" t="s">
        <v>31</v>
      </c>
      <c r="D31" s="5" t="s">
        <v>32</v>
      </c>
      <c r="E31" s="4">
        <v>3535.57</v>
      </c>
      <c r="F31" s="6">
        <v>4741.2</v>
      </c>
      <c r="G31" s="4">
        <v>55.75</v>
      </c>
      <c r="H31" s="4">
        <v>84.88</v>
      </c>
    </row>
    <row r="32" spans="1:8" x14ac:dyDescent="0.3">
      <c r="A32" s="1">
        <f t="shared" si="5"/>
        <v>21</v>
      </c>
      <c r="B32" s="1">
        <f t="shared" si="5"/>
        <v>7</v>
      </c>
      <c r="C32" s="1" t="s">
        <v>33</v>
      </c>
      <c r="D32" s="1" t="s">
        <v>20</v>
      </c>
      <c r="E32" s="1">
        <v>3417.37</v>
      </c>
      <c r="F32" s="1">
        <v>4634.55</v>
      </c>
      <c r="G32" s="1">
        <v>67.569999999999993</v>
      </c>
      <c r="H32" s="1">
        <v>72.67</v>
      </c>
    </row>
  </sheetData>
  <mergeCells count="4">
    <mergeCell ref="A13:H13"/>
    <mergeCell ref="A24:H24"/>
    <mergeCell ref="A1:H1"/>
    <mergeCell ref="A8:H8"/>
  </mergeCells>
  <pageMargins left="0.7" right="0.7" top="0.75" bottom="0.75" header="0.3" footer="0.3"/>
  <pageSetup paperSize="9" orientation="portrait" r:id="rId1"/>
  <ignoredErrors>
    <ignoredError sqref="A11" evalError="1"/>
  </ignoredErrors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Nieuwenhuizen</dc:creator>
  <cp:lastModifiedBy>Dominique</cp:lastModifiedBy>
  <dcterms:created xsi:type="dcterms:W3CDTF">2015-06-05T18:19:34Z</dcterms:created>
  <dcterms:modified xsi:type="dcterms:W3CDTF">2025-04-27T17:10:12Z</dcterms:modified>
</cp:coreProperties>
</file>